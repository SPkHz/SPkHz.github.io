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olt77/Documents/MATLAB/WNEU_Matlab_Files__Local/WNEU_Matlab_SP25/EE456_mmWave_Circuits/EE456_Design_Projects/Design2 - FINAL MATLAB FILES/"/>
    </mc:Choice>
  </mc:AlternateContent>
  <xr:revisionPtr revIDLastSave="0" documentId="13_ncr:1_{FF7DC62E-3A35-EA4E-AC17-F9408A64E582}" xr6:coauthVersionLast="47" xr6:coauthVersionMax="47" xr10:uidLastSave="{00000000-0000-0000-0000-000000000000}"/>
  <bookViews>
    <workbookView xWindow="0" yWindow="500" windowWidth="31220" windowHeight="251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 a="1"/>
  <c r="H6" i="1" s="1"/>
  <c r="G6" i="1" a="1"/>
  <c r="G6" i="1" s="1"/>
  <c r="B21" i="1"/>
  <c r="B20" i="1"/>
  <c r="B17" i="1"/>
  <c r="B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<sst xmlns="http://schemas.openxmlformats.org/spreadsheetml/2006/main" count="315" uniqueCount="74">
  <si>
    <t>Units</t>
  </si>
  <si>
    <t>dB</t>
  </si>
  <si>
    <t>Design</t>
  </si>
  <si>
    <t>Simulated Matlab</t>
  </si>
  <si>
    <t>Simulated ADS</t>
  </si>
  <si>
    <t>Gamma_S</t>
  </si>
  <si>
    <t>Gamma_L</t>
  </si>
  <si>
    <t>Gamma_In</t>
  </si>
  <si>
    <t>Gamma_Out</t>
  </si>
  <si>
    <t>|Gamma_IMN|</t>
  </si>
  <si>
    <t>VSWR_IMN</t>
  </si>
  <si>
    <t>|Gamma_OMN|</t>
  </si>
  <si>
    <t>VSWR_OMN</t>
  </si>
  <si>
    <t>G_T</t>
  </si>
  <si>
    <t>F</t>
  </si>
  <si>
    <t>---</t>
  </si>
  <si>
    <t>ADS vs Matlab Diff</t>
  </si>
  <si>
    <t>ADS vs Matlab % Diff</t>
  </si>
  <si>
    <t>Mag Design</t>
  </si>
  <si>
    <t>Fmin Design</t>
  </si>
  <si>
    <t>Design 1</t>
  </si>
  <si>
    <t>Design 2</t>
  </si>
  <si>
    <t>-----------------</t>
  </si>
  <si>
    <t>Gamma_L_Design_2_Pt1</t>
  </si>
  <si>
    <t>Gamma_L_Design_2_Pt4</t>
  </si>
  <si>
    <t>Gamma_L_Design_2_Pt3</t>
  </si>
  <si>
    <t>Gamma_L_Design_2_Pt2</t>
  </si>
  <si>
    <t>-18.6120  dB</t>
  </si>
  <si>
    <t>IMN Electrical Lengths</t>
  </si>
  <si>
    <t>Theta_I1</t>
  </si>
  <si>
    <t>Theta_I2</t>
  </si>
  <si>
    <t>OMN Electrical Lengths</t>
  </si>
  <si>
    <t>Theta_O1</t>
  </si>
  <si>
    <t>Theta_O2</t>
  </si>
  <si>
    <t>Lambda {\L}</t>
  </si>
  <si>
    <t>TRL</t>
  </si>
  <si>
    <t>Shunt Stub</t>
  </si>
  <si>
    <t>Termination</t>
  </si>
  <si>
    <t>N/A</t>
  </si>
  <si>
    <t>Open</t>
  </si>
  <si>
    <t>Type</t>
  </si>
  <si>
    <t>( 0.4982 , -157.5655° )</t>
  </si>
  <si>
    <t>( 0.4256 , -136.0227° )</t>
  </si>
  <si>
    <t>( 0.2904 , +146.0865° )</t>
  </si>
  <si>
    <t>( 0.4742 , +123.6207° )</t>
  </si>
  <si>
    <t xml:space="preserve">( 0.4688 , -10.5628° ) </t>
  </si>
  <si>
    <t xml:space="preserve">( 0.5638 , +112.7047° ) </t>
  </si>
  <si>
    <t>( 0.3642 , -168.6686° )</t>
  </si>
  <si>
    <t>( 0.3555 , -25.0029° )</t>
  </si>
  <si>
    <t>( 0.3642 , -168.6684° )</t>
  </si>
  <si>
    <t>Degrees (° )</t>
  </si>
  <si>
    <t>( 0.7088 , -114.5883° )</t>
  </si>
  <si>
    <t>( 0.3240 , -165.1500° )</t>
  </si>
  <si>
    <t>( 0.4264 , -135.9051° )</t>
  </si>
  <si>
    <t>( 0.5871 , +152.4980° )</t>
  </si>
  <si>
    <t xml:space="preserve">( 0.2726 , -177.7155° ) </t>
  </si>
  <si>
    <t>( 0.4982, +157.5665° )</t>
  </si>
  <si>
    <t>( 0.7088 , +114.5883° )</t>
  </si>
  <si>
    <t xml:space="preserve">( 0.5392 , +120.7417° ) </t>
  </si>
  <si>
    <t>( 0.6627, +116.3974° )</t>
  </si>
  <si>
    <t>( 0.5871 , -152.4980° )</t>
  </si>
  <si>
    <t>( 0.2726 , +177.7155° )</t>
  </si>
  <si>
    <t>( 0.3808 , +164.5521° )</t>
  </si>
  <si>
    <t>( 0.3940 , -163.4776° )</t>
  </si>
  <si>
    <t>( 0.2049 , -143.2555° )</t>
  </si>
  <si>
    <t>( 0.1785 , +149.3877° )</t>
  </si>
  <si>
    <t>Fail</t>
  </si>
  <si>
    <t>Pass</t>
  </si>
  <si>
    <t>------------------------</t>
  </si>
  <si>
    <t>-------------</t>
  </si>
  <si>
    <t>-----</t>
  </si>
  <si>
    <t>Design Parameter</t>
  </si>
  <si>
    <t>Design Specs</t>
  </si>
  <si>
    <t xml:space="preserve">Design - Pass / 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</si>
</sst>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0" fillId="0" borderId="2" xfId="0" applyNumberFormat="1" applyBorder="1"/>
    <xf numFmtId="164" fontId="1" fillId="0" borderId="2" xfId="0" quotePrefix="1" applyNumberFormat="1" applyFont="1" applyBorder="1" applyAlignment="1">
      <alignment horizontal="center" vertical="center"/>
    </xf>
    <xf numFmtId="164" fontId="2" fillId="0" borderId="2" xfId="0" quotePrefix="1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" fillId="2" borderId="2" xfId="0" quotePrefix="1" applyNumberFormat="1" applyFont="1" applyFill="1" applyBorder="1" applyAlignment="1">
      <alignment horizontal="center" vertical="center"/>
    </xf>
    <xf numFmtId="164" fontId="1" fillId="2" borderId="2" xfId="0" quotePrefix="1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zoomScale="130" zoomScaleNormal="130" workbookViewId="0">
      <selection activeCell="J37" sqref="J37"/>
    </sheetView>
  </sheetViews>
  <sheetFormatPr baseColWidth="10" defaultColWidth="8.83203125" defaultRowHeight="15" x14ac:dyDescent="0.2"/>
  <cols>
    <col min="1" max="1" width="21" customWidth="1"/>
    <col min="2" max="2" width="20" customWidth="1"/>
    <col min="3" max="3" width="16.5" bestFit="1" customWidth="1"/>
    <col min="4" max="4" width="20" customWidth="1"/>
    <col min="5" max="5" width="12.5" customWidth="1"/>
    <col min="6" max="6" width="5.5" bestFit="1" customWidth="1"/>
    <col min="7" max="7" width="29.6640625" customWidth="1"/>
    <col min="8" max="8" width="21.6640625" customWidth="1"/>
    <col min="10" max="10" width="16.5" customWidth="1"/>
    <col min="11" max="11" width="22.83203125" customWidth="1"/>
  </cols>
  <sheetData>
    <row r="1" spans="1:11" ht="18" customHeight="1" x14ac:dyDescent="0.2">
      <c r="A1" s="4"/>
      <c r="B1" s="15" t="s">
        <v>2</v>
      </c>
      <c r="C1" s="15" t="s">
        <v>3</v>
      </c>
      <c r="D1" s="15" t="s">
        <v>4</v>
      </c>
      <c r="E1" s="15" t="s">
        <v>0</v>
      </c>
      <c r="F1" s="16"/>
      <c r="G1" s="15" t="s">
        <v>16</v>
      </c>
      <c r="H1" s="15" t="s">
        <v>17</v>
      </c>
      <c r="I1" s="2"/>
      <c r="J1" s="1"/>
      <c r="K1" s="1"/>
    </row>
    <row r="2" spans="1:11" ht="18" customHeight="1" x14ac:dyDescent="0.2">
      <c r="A2" s="15" t="s">
        <v>5</v>
      </c>
      <c r="B2" s="5" t="s">
        <v>42</v>
      </c>
      <c r="C2" s="18" t="s">
        <v>22</v>
      </c>
      <c r="D2" s="18" t="s">
        <v>22</v>
      </c>
      <c r="E2" s="19" t="s">
        <v>15</v>
      </c>
      <c r="F2" s="20"/>
      <c r="G2" s="18" t="s">
        <v>22</v>
      </c>
      <c r="H2" s="18" t="s">
        <v>22</v>
      </c>
      <c r="I2" s="2"/>
      <c r="J2" s="2"/>
      <c r="K2" s="2"/>
    </row>
    <row r="3" spans="1:11" ht="18" customHeight="1" x14ac:dyDescent="0.2">
      <c r="A3" s="15" t="s">
        <v>6</v>
      </c>
      <c r="B3" s="5" t="s">
        <v>43</v>
      </c>
      <c r="C3" s="18" t="s">
        <v>22</v>
      </c>
      <c r="D3" s="18" t="s">
        <v>22</v>
      </c>
      <c r="E3" s="19" t="s">
        <v>15</v>
      </c>
      <c r="F3" s="20"/>
      <c r="G3" s="18" t="s">
        <v>22</v>
      </c>
      <c r="H3" s="18" t="s">
        <v>22</v>
      </c>
      <c r="I3" s="2"/>
      <c r="J3" s="2"/>
      <c r="K3" s="2"/>
    </row>
    <row r="4" spans="1:11" ht="18" customHeight="1" x14ac:dyDescent="0.2">
      <c r="A4" s="15" t="s">
        <v>7</v>
      </c>
      <c r="B4" s="5" t="s">
        <v>44</v>
      </c>
      <c r="C4" s="21" t="s">
        <v>45</v>
      </c>
      <c r="D4" s="21" t="s">
        <v>46</v>
      </c>
      <c r="E4" s="19" t="s">
        <v>15</v>
      </c>
      <c r="F4" s="20"/>
      <c r="G4" s="18" t="s">
        <v>22</v>
      </c>
      <c r="H4" s="18" t="s">
        <v>22</v>
      </c>
      <c r="I4" s="2"/>
      <c r="J4" s="2"/>
      <c r="K4" s="2"/>
    </row>
    <row r="5" spans="1:11" ht="18" customHeight="1" x14ac:dyDescent="0.2">
      <c r="A5" s="15" t="s">
        <v>8</v>
      </c>
      <c r="B5" s="5" t="s">
        <v>47</v>
      </c>
      <c r="C5" s="21" t="s">
        <v>48</v>
      </c>
      <c r="D5" s="21" t="s">
        <v>49</v>
      </c>
      <c r="E5" s="19" t="s">
        <v>15</v>
      </c>
      <c r="F5" s="20"/>
      <c r="G5" s="18" t="s">
        <v>22</v>
      </c>
      <c r="H5" s="18" t="s">
        <v>22</v>
      </c>
      <c r="I5" s="2"/>
      <c r="J5" s="2"/>
      <c r="K5" s="2"/>
    </row>
    <row r="6" spans="1:11" ht="18" customHeight="1" x14ac:dyDescent="0.2">
      <c r="A6" s="15" t="s">
        <v>9</v>
      </c>
      <c r="B6" s="5">
        <v>0.13500000000000001</v>
      </c>
      <c r="C6" s="6">
        <v>0.30309999999999998</v>
      </c>
      <c r="D6" s="6">
        <v>0.30309999999999998</v>
      </c>
      <c r="E6" s="12" t="s">
        <v>15</v>
      </c>
      <c r="F6" s="2"/>
      <c r="G6" s="4" cm="1">
        <f t="array" ref="G6:G13">ABS((C6:C13)-(D6-D13))</f>
        <v>0.58030000000000004</v>
      </c>
      <c r="H6" s="4" cm="1">
        <f t="array" ref="H6:H13">(ABS(((D6:D13)-(C6:C13)) / ABS(C6:C13)))*100</f>
        <v>0</v>
      </c>
      <c r="I6" s="2"/>
      <c r="J6" s="2"/>
      <c r="K6" s="2"/>
    </row>
    <row r="7" spans="1:11" ht="18" customHeight="1" x14ac:dyDescent="0.2">
      <c r="A7" s="15" t="s">
        <v>9</v>
      </c>
      <c r="B7" s="5">
        <v>-17.394400000000001</v>
      </c>
      <c r="C7" s="6">
        <v>-10.2445</v>
      </c>
      <c r="D7" s="5">
        <v>-10.2445</v>
      </c>
      <c r="E7" s="6" t="s">
        <v>1</v>
      </c>
      <c r="F7" s="2"/>
      <c r="G7" s="4">
        <v>9.9672999999999998</v>
      </c>
      <c r="H7" s="4">
        <v>0</v>
      </c>
      <c r="I7" s="2"/>
      <c r="J7" s="2"/>
      <c r="K7" s="2"/>
    </row>
    <row r="8" spans="1:11" ht="18" customHeight="1" x14ac:dyDescent="0.2">
      <c r="A8" s="15" t="s">
        <v>10</v>
      </c>
      <c r="B8" s="5">
        <v>1.4983</v>
      </c>
      <c r="C8" s="6">
        <v>1.8878999999999999</v>
      </c>
      <c r="D8" s="5">
        <v>1.8878999999999999</v>
      </c>
      <c r="E8" s="13" t="s">
        <v>15</v>
      </c>
      <c r="F8" s="2"/>
      <c r="G8" s="4">
        <v>2.1650999999999998</v>
      </c>
      <c r="H8" s="4">
        <v>0</v>
      </c>
      <c r="I8" s="2"/>
      <c r="J8" s="2"/>
      <c r="K8" s="2"/>
    </row>
    <row r="9" spans="1:11" ht="18" customHeight="1" x14ac:dyDescent="0.2">
      <c r="A9" s="15" t="s">
        <v>11</v>
      </c>
      <c r="B9" s="5">
        <v>0.16300000000000001</v>
      </c>
      <c r="C9" s="5">
        <v>0.16289999999999999</v>
      </c>
      <c r="D9" s="5">
        <v>0.16289999999999999</v>
      </c>
      <c r="E9" s="14" t="s">
        <v>15</v>
      </c>
      <c r="F9" s="8"/>
      <c r="G9" s="5">
        <v>0.44010000000000005</v>
      </c>
      <c r="H9" s="5">
        <v>0</v>
      </c>
      <c r="I9" s="8"/>
    </row>
    <row r="10" spans="1:11" ht="18" customHeight="1" x14ac:dyDescent="0.2">
      <c r="A10" s="15" t="s">
        <v>11</v>
      </c>
      <c r="B10" s="5">
        <v>-15.7583</v>
      </c>
      <c r="C10" s="5">
        <v>-15.7583</v>
      </c>
      <c r="D10" s="5">
        <v>-15.7583</v>
      </c>
      <c r="E10" s="7" t="s">
        <v>1</v>
      </c>
      <c r="F10" s="8"/>
      <c r="G10" s="5">
        <v>15.4811</v>
      </c>
      <c r="H10" s="5">
        <v>0</v>
      </c>
      <c r="I10" s="8"/>
    </row>
    <row r="11" spans="1:11" ht="18" customHeight="1" x14ac:dyDescent="0.2">
      <c r="A11" s="15" t="s">
        <v>12</v>
      </c>
      <c r="B11" s="5">
        <v>1.3894</v>
      </c>
      <c r="C11" s="5">
        <v>1.3894</v>
      </c>
      <c r="D11" s="5">
        <v>1.3894</v>
      </c>
      <c r="E11" s="14" t="s">
        <v>15</v>
      </c>
      <c r="F11" s="8"/>
      <c r="G11" s="5">
        <v>1.6666000000000001</v>
      </c>
      <c r="H11" s="5">
        <v>0</v>
      </c>
      <c r="I11" s="8"/>
    </row>
    <row r="12" spans="1:11" ht="18" customHeight="1" x14ac:dyDescent="0.2">
      <c r="A12" s="15" t="s">
        <v>13</v>
      </c>
      <c r="B12" s="5">
        <v>12.2599</v>
      </c>
      <c r="C12" s="5">
        <v>12.148300000000001</v>
      </c>
      <c r="D12" s="7">
        <v>12.148300000000001</v>
      </c>
      <c r="E12" s="7" t="s">
        <v>1</v>
      </c>
      <c r="F12" s="8"/>
      <c r="G12" s="5">
        <v>12.425500000000001</v>
      </c>
      <c r="H12" s="5">
        <v>0</v>
      </c>
      <c r="I12" s="8"/>
    </row>
    <row r="13" spans="1:11" ht="18" customHeight="1" x14ac:dyDescent="0.2">
      <c r="A13" s="15" t="s">
        <v>14</v>
      </c>
      <c r="B13" s="5">
        <v>0.58030000000000004</v>
      </c>
      <c r="C13" s="7">
        <v>0.58030000000000004</v>
      </c>
      <c r="D13" s="5">
        <v>0.58030000000000004</v>
      </c>
      <c r="E13" s="7" t="s">
        <v>1</v>
      </c>
      <c r="F13" s="8"/>
      <c r="G13" s="5">
        <v>0.85750000000000015</v>
      </c>
      <c r="H13" s="5">
        <v>0</v>
      </c>
      <c r="I13" s="8"/>
    </row>
    <row r="14" spans="1:11" ht="18" customHeight="1" x14ac:dyDescent="0.2">
      <c r="A14" s="8"/>
      <c r="B14" s="8"/>
      <c r="C14" s="8"/>
      <c r="D14" s="8"/>
      <c r="E14" s="8"/>
      <c r="F14" s="8"/>
      <c r="G14" s="8"/>
      <c r="H14" s="8"/>
      <c r="I14" s="8"/>
    </row>
    <row r="15" spans="1:11" ht="18" customHeight="1" x14ac:dyDescent="0.2">
      <c r="A15" s="10" t="s">
        <v>28</v>
      </c>
      <c r="B15" s="10" t="s">
        <v>34</v>
      </c>
      <c r="C15" s="10" t="s">
        <v>50</v>
      </c>
      <c r="D15" s="10" t="s">
        <v>40</v>
      </c>
      <c r="E15" s="10" t="s">
        <v>37</v>
      </c>
      <c r="F15" s="8"/>
      <c r="G15" s="8"/>
      <c r="H15" s="8"/>
      <c r="I15" s="8"/>
    </row>
    <row r="16" spans="1:11" ht="18" customHeight="1" x14ac:dyDescent="0.2">
      <c r="A16" s="15" t="s">
        <v>29</v>
      </c>
      <c r="B16" s="5">
        <f>C16/360</f>
        <v>0.12013361111111111</v>
      </c>
      <c r="C16" s="5">
        <v>43.248100000000001</v>
      </c>
      <c r="D16" s="7" t="s">
        <v>35</v>
      </c>
      <c r="E16" s="7" t="s">
        <v>38</v>
      </c>
      <c r="F16" s="8"/>
      <c r="G16" s="8"/>
      <c r="H16" s="8"/>
      <c r="I16" s="8"/>
    </row>
    <row r="17" spans="1:9" ht="18" customHeight="1" x14ac:dyDescent="0.2">
      <c r="A17" s="15" t="s">
        <v>30</v>
      </c>
      <c r="B17" s="5">
        <f>C17/360</f>
        <v>2.893611111111111E-2</v>
      </c>
      <c r="C17" s="5">
        <v>10.417</v>
      </c>
      <c r="D17" s="7" t="s">
        <v>36</v>
      </c>
      <c r="E17" s="7" t="s">
        <v>39</v>
      </c>
      <c r="F17" s="8"/>
      <c r="G17" s="8"/>
      <c r="H17" s="8"/>
      <c r="I17" s="8"/>
    </row>
    <row r="18" spans="1:9" ht="18" customHeight="1" x14ac:dyDescent="0.2">
      <c r="A18" s="17"/>
      <c r="B18" s="8"/>
      <c r="C18" s="8"/>
      <c r="D18" s="8"/>
      <c r="E18" s="8"/>
      <c r="F18" s="8"/>
      <c r="G18" s="8"/>
      <c r="H18" s="8"/>
      <c r="I18" s="8"/>
    </row>
    <row r="19" spans="1:9" ht="18" customHeight="1" x14ac:dyDescent="0.2">
      <c r="A19" s="10" t="s">
        <v>31</v>
      </c>
      <c r="B19" s="10" t="s">
        <v>34</v>
      </c>
      <c r="C19" s="10" t="s">
        <v>50</v>
      </c>
      <c r="D19" s="10" t="s">
        <v>40</v>
      </c>
      <c r="E19" s="10" t="s">
        <v>37</v>
      </c>
      <c r="F19" s="8"/>
      <c r="G19" s="8"/>
      <c r="H19" s="8"/>
      <c r="I19" s="8"/>
    </row>
    <row r="20" spans="1:9" ht="18" customHeight="1" x14ac:dyDescent="0.2">
      <c r="A20" s="10" t="s">
        <v>32</v>
      </c>
      <c r="B20" s="5">
        <f>C20/360</f>
        <v>8.6821944444444452E-2</v>
      </c>
      <c r="C20" s="5">
        <v>31.2559</v>
      </c>
      <c r="D20" s="7" t="s">
        <v>35</v>
      </c>
      <c r="E20" s="7" t="s">
        <v>38</v>
      </c>
      <c r="F20" s="8"/>
      <c r="G20" s="8"/>
      <c r="H20" s="8"/>
      <c r="I20" s="8"/>
    </row>
    <row r="21" spans="1:9" ht="18" customHeight="1" x14ac:dyDescent="0.2">
      <c r="A21" s="10" t="s">
        <v>33</v>
      </c>
      <c r="B21" s="5">
        <f>C21/360</f>
        <v>0.14865500000000001</v>
      </c>
      <c r="C21" s="5">
        <v>53.515799999999999</v>
      </c>
      <c r="D21" s="7" t="s">
        <v>36</v>
      </c>
      <c r="E21" s="7" t="s">
        <v>39</v>
      </c>
      <c r="F21" s="8"/>
      <c r="G21" s="8"/>
      <c r="H21" s="8"/>
      <c r="I21" s="8"/>
    </row>
    <row r="22" spans="1:9" ht="18" customHeight="1" x14ac:dyDescent="0.2">
      <c r="A22" s="17"/>
      <c r="B22" s="8"/>
      <c r="C22" s="8"/>
      <c r="D22" s="8"/>
      <c r="E22" s="8"/>
      <c r="F22" s="8"/>
      <c r="G22" s="8"/>
      <c r="H22" s="8"/>
      <c r="I22" s="8"/>
    </row>
    <row r="23" spans="1:9" ht="18" customHeight="1" x14ac:dyDescent="0.2">
      <c r="A23" s="10"/>
      <c r="B23" s="7" t="s">
        <v>18</v>
      </c>
      <c r="C23" s="7" t="s">
        <v>19</v>
      </c>
      <c r="D23" s="7" t="s">
        <v>20</v>
      </c>
      <c r="E23" s="4" t="s">
        <v>0</v>
      </c>
      <c r="F23" s="8"/>
      <c r="G23" s="5"/>
      <c r="H23" s="10" t="s">
        <v>21</v>
      </c>
      <c r="I23" s="15" t="s">
        <v>0</v>
      </c>
    </row>
    <row r="24" spans="1:9" ht="18" customHeight="1" x14ac:dyDescent="0.2">
      <c r="A24" s="15" t="s">
        <v>5</v>
      </c>
      <c r="B24" s="6" t="s">
        <v>51</v>
      </c>
      <c r="C24" s="3" t="s">
        <v>52</v>
      </c>
      <c r="D24" s="5" t="s">
        <v>53</v>
      </c>
      <c r="E24" s="12" t="s">
        <v>15</v>
      </c>
      <c r="F24" s="8"/>
      <c r="G24" s="15" t="s">
        <v>5</v>
      </c>
      <c r="H24" s="5" t="s">
        <v>42</v>
      </c>
      <c r="I24" s="12" t="s">
        <v>15</v>
      </c>
    </row>
    <row r="25" spans="1:9" ht="18" customHeight="1" x14ac:dyDescent="0.2">
      <c r="A25" s="15" t="s">
        <v>6</v>
      </c>
      <c r="B25" s="6" t="s">
        <v>54</v>
      </c>
      <c r="C25" s="7" t="s">
        <v>55</v>
      </c>
      <c r="D25" s="7" t="s">
        <v>56</v>
      </c>
      <c r="E25" s="12" t="s">
        <v>15</v>
      </c>
      <c r="F25" s="8"/>
      <c r="G25" s="15" t="s">
        <v>6</v>
      </c>
      <c r="H25" s="5" t="s">
        <v>43</v>
      </c>
      <c r="I25" s="12" t="s">
        <v>15</v>
      </c>
    </row>
    <row r="26" spans="1:9" ht="18" customHeight="1" x14ac:dyDescent="0.2">
      <c r="A26" s="15" t="s">
        <v>7</v>
      </c>
      <c r="B26" s="6" t="s">
        <v>57</v>
      </c>
      <c r="C26" s="5" t="s">
        <v>58</v>
      </c>
      <c r="D26" s="7" t="s">
        <v>59</v>
      </c>
      <c r="E26" s="12" t="s">
        <v>15</v>
      </c>
      <c r="F26" s="8"/>
      <c r="G26" s="15" t="s">
        <v>7</v>
      </c>
      <c r="H26" s="5" t="s">
        <v>44</v>
      </c>
      <c r="I26" s="12" t="s">
        <v>15</v>
      </c>
    </row>
    <row r="27" spans="1:9" ht="18" customHeight="1" x14ac:dyDescent="0.2">
      <c r="A27" s="15" t="s">
        <v>8</v>
      </c>
      <c r="B27" s="6" t="s">
        <v>60</v>
      </c>
      <c r="C27" s="5" t="s">
        <v>61</v>
      </c>
      <c r="D27" s="7" t="s">
        <v>41</v>
      </c>
      <c r="E27" s="12" t="s">
        <v>15</v>
      </c>
      <c r="F27" s="8"/>
      <c r="G27" s="15" t="s">
        <v>8</v>
      </c>
      <c r="H27" s="5" t="s">
        <v>47</v>
      </c>
      <c r="I27" s="12" t="s">
        <v>15</v>
      </c>
    </row>
    <row r="28" spans="1:9" ht="18" customHeight="1" x14ac:dyDescent="0.2">
      <c r="A28" s="15" t="s">
        <v>9</v>
      </c>
      <c r="B28" s="6">
        <v>0</v>
      </c>
      <c r="C28" s="5">
        <v>0.4325</v>
      </c>
      <c r="D28" s="5">
        <v>0.1173</v>
      </c>
      <c r="E28" s="12" t="s">
        <v>15</v>
      </c>
      <c r="F28" s="8"/>
      <c r="G28" s="15" t="s">
        <v>9</v>
      </c>
      <c r="H28" s="5">
        <v>0.13500000000000001</v>
      </c>
      <c r="I28" s="12" t="s">
        <v>15</v>
      </c>
    </row>
    <row r="29" spans="1:9" ht="18" customHeight="1" x14ac:dyDescent="0.2">
      <c r="A29" s="15" t="s">
        <v>9</v>
      </c>
      <c r="B29" s="6">
        <v>-319.04969999999997</v>
      </c>
      <c r="C29" s="5">
        <v>-7.2797999999999998</v>
      </c>
      <c r="D29" s="5" t="s">
        <v>27</v>
      </c>
      <c r="E29" s="6" t="s">
        <v>1</v>
      </c>
      <c r="F29" s="8"/>
      <c r="G29" s="15" t="s">
        <v>9</v>
      </c>
      <c r="H29" s="5">
        <v>-17.394400000000001</v>
      </c>
      <c r="I29" s="6" t="s">
        <v>1</v>
      </c>
    </row>
    <row r="30" spans="1:9" ht="18" customHeight="1" x14ac:dyDescent="0.2">
      <c r="A30" s="15" t="s">
        <v>10</v>
      </c>
      <c r="B30" s="5">
        <v>1</v>
      </c>
      <c r="C30" s="5">
        <v>2.5244</v>
      </c>
      <c r="D30" s="5">
        <v>1.2658</v>
      </c>
      <c r="E30" s="13" t="s">
        <v>15</v>
      </c>
      <c r="F30" s="8"/>
      <c r="G30" s="15" t="s">
        <v>10</v>
      </c>
      <c r="H30" s="5">
        <v>1.4983</v>
      </c>
      <c r="I30" s="13" t="s">
        <v>15</v>
      </c>
    </row>
    <row r="31" spans="1:9" ht="18" customHeight="1" x14ac:dyDescent="0.2">
      <c r="A31" s="15" t="s">
        <v>11</v>
      </c>
      <c r="B31" s="9">
        <v>0</v>
      </c>
      <c r="C31" s="5">
        <v>0</v>
      </c>
      <c r="D31" s="5">
        <v>0</v>
      </c>
      <c r="E31" s="14" t="s">
        <v>15</v>
      </c>
      <c r="F31" s="8"/>
      <c r="G31" s="15" t="s">
        <v>11</v>
      </c>
      <c r="H31" s="5">
        <v>0.16300000000000001</v>
      </c>
      <c r="I31" s="14" t="s">
        <v>15</v>
      </c>
    </row>
    <row r="32" spans="1:9" ht="18" customHeight="1" x14ac:dyDescent="0.2">
      <c r="A32" s="15" t="s">
        <v>11</v>
      </c>
      <c r="B32" s="5">
        <v>314.45229999999998</v>
      </c>
      <c r="C32" s="5">
        <v>-300</v>
      </c>
      <c r="D32" s="5">
        <v>-300</v>
      </c>
      <c r="E32" s="7" t="s">
        <v>1</v>
      </c>
      <c r="F32" s="8"/>
      <c r="G32" s="15" t="s">
        <v>11</v>
      </c>
      <c r="H32" s="5">
        <v>-15.7583</v>
      </c>
      <c r="I32" s="7" t="s">
        <v>1</v>
      </c>
    </row>
    <row r="33" spans="1:9" ht="18" customHeight="1" x14ac:dyDescent="0.2">
      <c r="A33" s="15" t="s">
        <v>12</v>
      </c>
      <c r="B33" s="5">
        <v>1</v>
      </c>
      <c r="C33" s="5">
        <v>1</v>
      </c>
      <c r="D33" s="5">
        <v>1</v>
      </c>
      <c r="E33" s="14" t="s">
        <v>15</v>
      </c>
      <c r="F33" s="8"/>
      <c r="G33" s="15" t="s">
        <v>12</v>
      </c>
      <c r="H33" s="5">
        <v>1.3894</v>
      </c>
      <c r="I33" s="14" t="s">
        <v>15</v>
      </c>
    </row>
    <row r="34" spans="1:9" ht="18" customHeight="1" x14ac:dyDescent="0.2">
      <c r="A34" s="15" t="s">
        <v>13</v>
      </c>
      <c r="B34" s="5">
        <v>12.921099999999999</v>
      </c>
      <c r="C34" s="5">
        <v>11.5032</v>
      </c>
      <c r="D34" s="5">
        <v>12.8123</v>
      </c>
      <c r="E34" s="7" t="s">
        <v>1</v>
      </c>
      <c r="F34" s="8"/>
      <c r="G34" s="15" t="s">
        <v>13</v>
      </c>
      <c r="H34" s="5">
        <v>12.2599</v>
      </c>
      <c r="I34" s="7" t="s">
        <v>1</v>
      </c>
    </row>
    <row r="35" spans="1:9" ht="18" customHeight="1" x14ac:dyDescent="0.2">
      <c r="A35" s="15" t="s">
        <v>14</v>
      </c>
      <c r="B35" s="5">
        <v>1.792</v>
      </c>
      <c r="C35" s="5">
        <v>0.44500000000000001</v>
      </c>
      <c r="D35" s="5">
        <v>1.1433</v>
      </c>
      <c r="E35" s="7" t="s">
        <v>1</v>
      </c>
      <c r="F35" s="8"/>
      <c r="G35" s="15" t="s">
        <v>14</v>
      </c>
      <c r="H35" s="5">
        <v>0.58030000000000004</v>
      </c>
      <c r="I35" s="7" t="s">
        <v>1</v>
      </c>
    </row>
    <row r="36" spans="1:9" ht="18" customHeight="1" x14ac:dyDescent="0.2">
      <c r="A36" s="8"/>
      <c r="B36" s="8"/>
      <c r="C36" s="8"/>
      <c r="D36" s="8"/>
      <c r="E36" s="8"/>
      <c r="F36" s="8"/>
      <c r="G36" s="17"/>
      <c r="H36" s="8"/>
      <c r="I36" s="8"/>
    </row>
    <row r="37" spans="1:9" ht="18" customHeight="1" x14ac:dyDescent="0.2">
      <c r="A37" s="8"/>
      <c r="B37" s="8"/>
      <c r="F37" s="8"/>
      <c r="G37" s="10" t="s">
        <v>23</v>
      </c>
      <c r="H37" s="5" t="s">
        <v>62</v>
      </c>
      <c r="I37" s="12" t="s">
        <v>15</v>
      </c>
    </row>
    <row r="38" spans="1:9" ht="18" customHeight="1" x14ac:dyDescent="0.2">
      <c r="A38" s="8"/>
      <c r="B38" s="8"/>
      <c r="F38" s="8"/>
      <c r="G38" s="10" t="s">
        <v>26</v>
      </c>
      <c r="H38" s="5" t="s">
        <v>63</v>
      </c>
      <c r="I38" s="12" t="s">
        <v>15</v>
      </c>
    </row>
    <row r="39" spans="1:9" ht="18" customHeight="1" x14ac:dyDescent="0.2">
      <c r="A39" s="8"/>
      <c r="B39" s="8"/>
      <c r="F39" s="8"/>
      <c r="G39" s="10" t="s">
        <v>25</v>
      </c>
      <c r="H39" s="5" t="s">
        <v>64</v>
      </c>
      <c r="I39" s="12" t="s">
        <v>15</v>
      </c>
    </row>
    <row r="40" spans="1:9" ht="18" customHeight="1" x14ac:dyDescent="0.2">
      <c r="A40" s="8"/>
      <c r="B40" s="8"/>
      <c r="F40" s="8"/>
      <c r="G40" s="10" t="s">
        <v>24</v>
      </c>
      <c r="H40" s="7" t="s">
        <v>65</v>
      </c>
      <c r="I40" s="12" t="s">
        <v>15</v>
      </c>
    </row>
    <row r="43" spans="1:9" ht="16" x14ac:dyDescent="0.2">
      <c r="C43" s="15" t="s">
        <v>71</v>
      </c>
      <c r="D43" s="15" t="s">
        <v>18</v>
      </c>
      <c r="E43" s="15" t="s">
        <v>72</v>
      </c>
      <c r="F43" s="15" t="s">
        <v>0</v>
      </c>
      <c r="G43" s="15" t="s">
        <v>73</v>
      </c>
    </row>
    <row r="44" spans="1:9" ht="16" x14ac:dyDescent="0.2">
      <c r="C44" s="15" t="s">
        <v>5</v>
      </c>
      <c r="D44" s="6" t="s">
        <v>51</v>
      </c>
      <c r="E44" s="12" t="s">
        <v>69</v>
      </c>
      <c r="F44" s="12" t="s">
        <v>70</v>
      </c>
      <c r="G44" s="12" t="s">
        <v>68</v>
      </c>
    </row>
    <row r="45" spans="1:9" ht="16" x14ac:dyDescent="0.2">
      <c r="C45" s="15" t="s">
        <v>6</v>
      </c>
      <c r="D45" s="6" t="s">
        <v>54</v>
      </c>
      <c r="E45" s="12" t="s">
        <v>69</v>
      </c>
      <c r="F45" s="12" t="s">
        <v>70</v>
      </c>
      <c r="G45" s="12" t="s">
        <v>68</v>
      </c>
    </row>
    <row r="46" spans="1:9" ht="16" x14ac:dyDescent="0.2">
      <c r="C46" s="15" t="s">
        <v>7</v>
      </c>
      <c r="D46" s="6" t="s">
        <v>57</v>
      </c>
      <c r="E46" s="12" t="s">
        <v>69</v>
      </c>
      <c r="F46" s="12" t="s">
        <v>70</v>
      </c>
      <c r="G46" s="12" t="s">
        <v>68</v>
      </c>
    </row>
    <row r="47" spans="1:9" ht="16" x14ac:dyDescent="0.2">
      <c r="C47" s="15" t="s">
        <v>8</v>
      </c>
      <c r="D47" s="6" t="s">
        <v>60</v>
      </c>
      <c r="E47" s="12" t="s">
        <v>69</v>
      </c>
      <c r="F47" s="12" t="s">
        <v>70</v>
      </c>
      <c r="G47" s="12" t="s">
        <v>68</v>
      </c>
    </row>
    <row r="48" spans="1:9" ht="16" x14ac:dyDescent="0.2">
      <c r="C48" s="15" t="s">
        <v>9</v>
      </c>
      <c r="D48" s="6">
        <v>0</v>
      </c>
      <c r="E48" s="12" t="s">
        <v>69</v>
      </c>
      <c r="F48" s="12" t="s">
        <v>70</v>
      </c>
      <c r="G48" s="12" t="s">
        <v>68</v>
      </c>
    </row>
    <row r="49" spans="3:7" ht="16" x14ac:dyDescent="0.2">
      <c r="C49" s="15" t="s">
        <v>9</v>
      </c>
      <c r="D49" s="6">
        <v>-319.04969999999997</v>
      </c>
      <c r="E49" s="12" t="s">
        <v>69</v>
      </c>
      <c r="F49" s="6" t="s">
        <v>1</v>
      </c>
      <c r="G49" s="12" t="s">
        <v>68</v>
      </c>
    </row>
    <row r="50" spans="3:7" ht="16" x14ac:dyDescent="0.2">
      <c r="C50" s="15" t="s">
        <v>10</v>
      </c>
      <c r="D50" s="5">
        <v>1</v>
      </c>
      <c r="E50" s="5"/>
      <c r="F50" s="12" t="s">
        <v>70</v>
      </c>
      <c r="G50" s="10" t="s">
        <v>67</v>
      </c>
    </row>
    <row r="51" spans="3:7" ht="16" x14ac:dyDescent="0.2">
      <c r="C51" s="15" t="s">
        <v>11</v>
      </c>
      <c r="D51" s="6">
        <v>0</v>
      </c>
      <c r="E51" s="12" t="s">
        <v>69</v>
      </c>
      <c r="F51" s="12" t="s">
        <v>70</v>
      </c>
      <c r="G51" s="12" t="s">
        <v>68</v>
      </c>
    </row>
    <row r="52" spans="3:7" ht="16" x14ac:dyDescent="0.2">
      <c r="C52" s="15" t="s">
        <v>11</v>
      </c>
      <c r="D52" s="5">
        <v>314.45229999999998</v>
      </c>
      <c r="E52" s="12" t="s">
        <v>69</v>
      </c>
      <c r="F52" s="7" t="s">
        <v>1</v>
      </c>
      <c r="G52" s="12" t="s">
        <v>68</v>
      </c>
    </row>
    <row r="53" spans="3:7" ht="16" x14ac:dyDescent="0.2">
      <c r="C53" s="15" t="s">
        <v>12</v>
      </c>
      <c r="D53" s="5">
        <v>1</v>
      </c>
      <c r="E53" s="5"/>
      <c r="F53" s="14" t="s">
        <v>15</v>
      </c>
      <c r="G53" s="10" t="s">
        <v>66</v>
      </c>
    </row>
    <row r="54" spans="3:7" ht="16" x14ac:dyDescent="0.2">
      <c r="C54" s="15" t="s">
        <v>13</v>
      </c>
      <c r="D54" s="5">
        <v>12.921099999999999</v>
      </c>
      <c r="E54" s="5"/>
      <c r="F54" s="7" t="s">
        <v>1</v>
      </c>
      <c r="G54" s="10" t="s">
        <v>67</v>
      </c>
    </row>
    <row r="55" spans="3:7" ht="16" x14ac:dyDescent="0.2">
      <c r="C55" s="15" t="s">
        <v>14</v>
      </c>
      <c r="D55" s="5">
        <v>1.792</v>
      </c>
      <c r="E55" s="5"/>
      <c r="F55" s="7" t="s">
        <v>1</v>
      </c>
      <c r="G55" s="10" t="s">
        <v>66</v>
      </c>
    </row>
    <row r="58" spans="3:7" ht="16" x14ac:dyDescent="0.2">
      <c r="C58" s="10" t="s">
        <v>71</v>
      </c>
      <c r="D58" s="10" t="s">
        <v>19</v>
      </c>
      <c r="E58" s="10" t="s">
        <v>72</v>
      </c>
      <c r="F58" s="15" t="s">
        <v>0</v>
      </c>
      <c r="G58" s="15" t="s">
        <v>73</v>
      </c>
    </row>
    <row r="59" spans="3:7" ht="16" x14ac:dyDescent="0.2">
      <c r="C59" s="15" t="s">
        <v>5</v>
      </c>
      <c r="D59" s="7" t="s">
        <v>52</v>
      </c>
      <c r="E59" s="12" t="s">
        <v>69</v>
      </c>
      <c r="F59" s="12" t="s">
        <v>70</v>
      </c>
      <c r="G59" s="12" t="s">
        <v>68</v>
      </c>
    </row>
    <row r="60" spans="3:7" ht="16" x14ac:dyDescent="0.2">
      <c r="C60" s="15" t="s">
        <v>6</v>
      </c>
      <c r="D60" s="7" t="s">
        <v>55</v>
      </c>
      <c r="E60" s="12" t="s">
        <v>69</v>
      </c>
      <c r="F60" s="12" t="s">
        <v>70</v>
      </c>
      <c r="G60" s="12" t="s">
        <v>68</v>
      </c>
    </row>
    <row r="61" spans="3:7" ht="16" x14ac:dyDescent="0.2">
      <c r="C61" s="15" t="s">
        <v>7</v>
      </c>
      <c r="D61" s="5" t="s">
        <v>58</v>
      </c>
      <c r="E61" s="12" t="s">
        <v>69</v>
      </c>
      <c r="F61" s="12" t="s">
        <v>70</v>
      </c>
      <c r="G61" s="12" t="s">
        <v>68</v>
      </c>
    </row>
    <row r="62" spans="3:7" ht="16" x14ac:dyDescent="0.2">
      <c r="C62" s="15" t="s">
        <v>8</v>
      </c>
      <c r="D62" s="5" t="s">
        <v>61</v>
      </c>
      <c r="E62" s="12" t="s">
        <v>69</v>
      </c>
      <c r="F62" s="12" t="s">
        <v>70</v>
      </c>
      <c r="G62" s="12" t="s">
        <v>68</v>
      </c>
    </row>
    <row r="63" spans="3:7" ht="16" x14ac:dyDescent="0.2">
      <c r="C63" s="15" t="s">
        <v>9</v>
      </c>
      <c r="D63" s="5">
        <v>0.4325</v>
      </c>
      <c r="E63" s="12" t="s">
        <v>69</v>
      </c>
      <c r="F63" s="12" t="s">
        <v>70</v>
      </c>
      <c r="G63" s="12" t="s">
        <v>68</v>
      </c>
    </row>
    <row r="64" spans="3:7" ht="16" x14ac:dyDescent="0.2">
      <c r="C64" s="15" t="s">
        <v>9</v>
      </c>
      <c r="D64" s="5">
        <v>-7.2797999999999998</v>
      </c>
      <c r="E64" s="12" t="s">
        <v>69</v>
      </c>
      <c r="F64" s="6" t="s">
        <v>1</v>
      </c>
      <c r="G64" s="12" t="s">
        <v>68</v>
      </c>
    </row>
    <row r="65" spans="3:7" ht="16" x14ac:dyDescent="0.2">
      <c r="C65" s="15" t="s">
        <v>10</v>
      </c>
      <c r="D65" s="5">
        <v>2.5244</v>
      </c>
      <c r="E65" s="5"/>
      <c r="F65" s="12" t="s">
        <v>70</v>
      </c>
      <c r="G65" s="10" t="s">
        <v>67</v>
      </c>
    </row>
    <row r="66" spans="3:7" ht="16" x14ac:dyDescent="0.2">
      <c r="C66" s="15" t="s">
        <v>11</v>
      </c>
      <c r="D66" s="5">
        <v>0</v>
      </c>
      <c r="E66" s="12" t="s">
        <v>69</v>
      </c>
      <c r="F66" s="12" t="s">
        <v>70</v>
      </c>
      <c r="G66" s="12" t="s">
        <v>68</v>
      </c>
    </row>
    <row r="67" spans="3:7" ht="16" x14ac:dyDescent="0.2">
      <c r="C67" s="15" t="s">
        <v>11</v>
      </c>
      <c r="D67" s="5">
        <v>-300</v>
      </c>
      <c r="E67" s="12" t="s">
        <v>69</v>
      </c>
      <c r="F67" s="7" t="s">
        <v>1</v>
      </c>
      <c r="G67" s="12" t="s">
        <v>68</v>
      </c>
    </row>
    <row r="68" spans="3:7" ht="16" x14ac:dyDescent="0.2">
      <c r="C68" s="15" t="s">
        <v>12</v>
      </c>
      <c r="D68" s="5">
        <v>1</v>
      </c>
      <c r="E68" s="5"/>
      <c r="F68" s="14" t="s">
        <v>15</v>
      </c>
      <c r="G68" s="10" t="s">
        <v>66</v>
      </c>
    </row>
    <row r="69" spans="3:7" ht="16" x14ac:dyDescent="0.2">
      <c r="C69" s="15" t="s">
        <v>13</v>
      </c>
      <c r="D69" s="5">
        <v>11.5032</v>
      </c>
      <c r="E69" s="5"/>
      <c r="F69" s="7" t="s">
        <v>1</v>
      </c>
      <c r="G69" s="10" t="s">
        <v>67</v>
      </c>
    </row>
    <row r="70" spans="3:7" ht="16" x14ac:dyDescent="0.2">
      <c r="C70" s="15" t="s">
        <v>14</v>
      </c>
      <c r="D70" s="5">
        <v>0.44500000000000001</v>
      </c>
      <c r="E70" s="5"/>
      <c r="F70" s="7" t="s">
        <v>1</v>
      </c>
      <c r="G70" s="10" t="s">
        <v>66</v>
      </c>
    </row>
    <row r="73" spans="3:7" ht="16" x14ac:dyDescent="0.2">
      <c r="C73" s="15" t="s">
        <v>71</v>
      </c>
      <c r="D73" s="15" t="s">
        <v>20</v>
      </c>
      <c r="E73" s="22" t="s">
        <v>72</v>
      </c>
      <c r="F73" s="15" t="s">
        <v>0</v>
      </c>
      <c r="G73" s="15" t="s">
        <v>73</v>
      </c>
    </row>
    <row r="74" spans="3:7" ht="16" x14ac:dyDescent="0.2">
      <c r="C74" s="15" t="s">
        <v>5</v>
      </c>
      <c r="D74" s="5" t="s">
        <v>53</v>
      </c>
      <c r="E74" s="12" t="s">
        <v>69</v>
      </c>
      <c r="F74" s="12" t="s">
        <v>70</v>
      </c>
      <c r="G74" s="12" t="s">
        <v>68</v>
      </c>
    </row>
    <row r="75" spans="3:7" ht="16" x14ac:dyDescent="0.2">
      <c r="C75" s="15" t="s">
        <v>6</v>
      </c>
      <c r="D75" s="7" t="s">
        <v>56</v>
      </c>
      <c r="E75" s="12" t="s">
        <v>69</v>
      </c>
      <c r="F75" s="12" t="s">
        <v>70</v>
      </c>
      <c r="G75" s="12" t="s">
        <v>68</v>
      </c>
    </row>
    <row r="76" spans="3:7" ht="16" x14ac:dyDescent="0.2">
      <c r="C76" s="15" t="s">
        <v>7</v>
      </c>
      <c r="D76" s="7" t="s">
        <v>59</v>
      </c>
      <c r="E76" s="12" t="s">
        <v>69</v>
      </c>
      <c r="F76" s="12" t="s">
        <v>70</v>
      </c>
      <c r="G76" s="12" t="s">
        <v>68</v>
      </c>
    </row>
    <row r="77" spans="3:7" ht="16" x14ac:dyDescent="0.2">
      <c r="C77" s="15" t="s">
        <v>8</v>
      </c>
      <c r="D77" s="7" t="s">
        <v>41</v>
      </c>
      <c r="E77" s="12" t="s">
        <v>69</v>
      </c>
      <c r="F77" s="12" t="s">
        <v>70</v>
      </c>
      <c r="G77" s="12" t="s">
        <v>68</v>
      </c>
    </row>
    <row r="78" spans="3:7" ht="16" x14ac:dyDescent="0.2">
      <c r="C78" s="15" t="s">
        <v>9</v>
      </c>
      <c r="D78" s="5">
        <v>0.1173</v>
      </c>
      <c r="E78" s="12" t="s">
        <v>69</v>
      </c>
      <c r="F78" s="12" t="s">
        <v>70</v>
      </c>
      <c r="G78" s="12" t="s">
        <v>68</v>
      </c>
    </row>
    <row r="79" spans="3:7" ht="16" x14ac:dyDescent="0.2">
      <c r="C79" s="15" t="s">
        <v>9</v>
      </c>
      <c r="D79" s="5" t="s">
        <v>27</v>
      </c>
      <c r="E79" s="12" t="s">
        <v>69</v>
      </c>
      <c r="F79" s="6" t="s">
        <v>1</v>
      </c>
      <c r="G79" s="12" t="s">
        <v>68</v>
      </c>
    </row>
    <row r="80" spans="3:7" ht="16" x14ac:dyDescent="0.2">
      <c r="C80" s="15" t="s">
        <v>10</v>
      </c>
      <c r="D80" s="5">
        <v>1.2658</v>
      </c>
      <c r="E80" s="11"/>
      <c r="F80" s="12" t="s">
        <v>70</v>
      </c>
      <c r="G80" s="10" t="s">
        <v>67</v>
      </c>
    </row>
    <row r="81" spans="3:7" ht="16" x14ac:dyDescent="0.2">
      <c r="C81" s="15" t="s">
        <v>11</v>
      </c>
      <c r="D81" s="5">
        <v>0</v>
      </c>
      <c r="E81" s="12" t="s">
        <v>69</v>
      </c>
      <c r="F81" s="12" t="s">
        <v>70</v>
      </c>
      <c r="G81" s="12" t="s">
        <v>68</v>
      </c>
    </row>
    <row r="82" spans="3:7" ht="16" x14ac:dyDescent="0.2">
      <c r="C82" s="15" t="s">
        <v>11</v>
      </c>
      <c r="D82" s="5">
        <v>-300</v>
      </c>
      <c r="E82" s="12" t="s">
        <v>69</v>
      </c>
      <c r="F82" s="7" t="s">
        <v>1</v>
      </c>
      <c r="G82" s="12" t="s">
        <v>68</v>
      </c>
    </row>
    <row r="83" spans="3:7" ht="16" x14ac:dyDescent="0.2">
      <c r="C83" s="15" t="s">
        <v>12</v>
      </c>
      <c r="D83" s="5">
        <v>1</v>
      </c>
      <c r="E83" s="11"/>
      <c r="F83" s="14" t="s">
        <v>15</v>
      </c>
      <c r="G83" s="10" t="s">
        <v>66</v>
      </c>
    </row>
    <row r="84" spans="3:7" ht="16" x14ac:dyDescent="0.2">
      <c r="C84" s="15" t="s">
        <v>13</v>
      </c>
      <c r="D84" s="5">
        <v>12.8123</v>
      </c>
      <c r="E84" s="11"/>
      <c r="F84" s="7" t="s">
        <v>1</v>
      </c>
      <c r="G84" s="10" t="s">
        <v>67</v>
      </c>
    </row>
    <row r="85" spans="3:7" ht="16" x14ac:dyDescent="0.2">
      <c r="C85" s="15" t="s">
        <v>14</v>
      </c>
      <c r="D85" s="5">
        <v>1.1433</v>
      </c>
      <c r="E85" s="11"/>
      <c r="F85" s="7" t="s">
        <v>1</v>
      </c>
      <c r="G85" s="1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Michael Placzek</cp:lastModifiedBy>
  <dcterms:created xsi:type="dcterms:W3CDTF">2024-09-04T06:57:56Z</dcterms:created>
  <dcterms:modified xsi:type="dcterms:W3CDTF">2025-03-25T20:58:08Z</dcterms:modified>
</cp:coreProperties>
</file>